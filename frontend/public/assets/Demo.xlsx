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53222"/>
  <bookViews>
    <workbookView xWindow="0" yWindow="0" windowWidth="20490" windowHeight="7815" activeTab="0"/>
  </bookViews>
  <sheets>
    <sheet name="Sheet1" sheetId="1" r:id="rId1"/>
    <sheet name="MTF" sheetId="2" r:id="rId2"/>
  </sheets>
  <definedNames>
    <definedName name="_xlnm._FilterDatabase" localSheetId="0" hidden="1">Sheet1!$L$17:$M$18</definedName>
  </definedNames>
  <calcPr calcId="144525"/>
</workbook>
</file>

<file path=xl/sharedStrings.xml><?xml version="1.0" encoding="utf-8"?>
<sst xmlns="http://schemas.openxmlformats.org/spreadsheetml/2006/main" uniqueCount="71" count="71">
  <si>
    <t>SCRIPT</t>
  </si>
  <si>
    <t>MCAP</t>
  </si>
  <si>
    <t>LTP</t>
  </si>
  <si>
    <t>REVENUE LAST YEAR</t>
  </si>
  <si>
    <t>NET PROFIT(YEARLY)</t>
  </si>
  <si>
    <t>REVENUE LAST QUARTER</t>
  </si>
  <si>
    <t>NET PROFIT(QUARTERLY)</t>
  </si>
  <si>
    <t>PB RATIO</t>
  </si>
  <si>
    <t>INDUSTRY GROWING X TIMES WITHIN 3 YEARS</t>
  </si>
  <si>
    <t>PUBLIC HOLDING %</t>
  </si>
  <si>
    <t>PROMOTOR PLEDGE %</t>
  </si>
  <si>
    <t>SCRIPT WEIGHTAGE</t>
  </si>
  <si>
    <t>DEBT TO EQ RATIO</t>
  </si>
  <si>
    <t>RESULT UPDATE TILL 6 MONTHS</t>
  </si>
  <si>
    <t>PSU OR NOT</t>
  </si>
  <si>
    <t>NET NPA</t>
  </si>
  <si>
    <t>YES</t>
  </si>
  <si>
    <t>TOTAL SHARES</t>
  </si>
  <si>
    <t>BOOK VALUE</t>
  </si>
  <si>
    <t>INITIAL CAPITAL FOR RETURN</t>
  </si>
  <si>
    <t>INITIAL AVERAGE CAPITAL FOR RETURN</t>
  </si>
  <si>
    <t>REPO RATE</t>
  </si>
  <si>
    <t>SHOULD BE TOTAL MCAP</t>
  </si>
  <si>
    <t>INITIAL CAPITAL FOR RETURN + ASSET</t>
  </si>
  <si>
    <t>BSE MCAP</t>
  </si>
  <si>
    <t>INDUSTRY GROWTH</t>
  </si>
  <si>
    <t>TOTAL BSE SHARES</t>
  </si>
  <si>
    <t>INITIAL CAPITAL + ASSET + INDUSTRY GROWTH</t>
  </si>
  <si>
    <t>AVERAGE MCAP</t>
  </si>
  <si>
    <t>NOTES</t>
  </si>
  <si>
    <t>FOR BANKING SECTOR - DEBT TO EQUITY 0.50 BY DEFAULT</t>
  </si>
  <si>
    <t>E17 CALCULATED BASE ON GROWTH CHANCES 50% OF PREDICTION. SO, DEVIDED BY 2</t>
  </si>
  <si>
    <t>BEFORE DAYS INDUSTRY GROWTH BASE ON 3 YEARS HENCE WHY MULTIPLE BY 3</t>
  </si>
  <si>
    <t>Collatral Value</t>
  </si>
  <si>
    <t>MTF Value</t>
  </si>
  <si>
    <t>Total</t>
  </si>
  <si>
    <t>Flag</t>
  </si>
  <si>
    <t>CURRENT</t>
  </si>
  <si>
    <t>OK</t>
  </si>
  <si>
    <t>RISK</t>
  </si>
  <si>
    <t>PE (YEARLY)</t>
  </si>
  <si>
    <t>PE(QUARTELY)</t>
  </si>
  <si>
    <t>EPS (YEARLY)</t>
  </si>
  <si>
    <t>EPS (QUARTELY)</t>
  </si>
  <si>
    <t>INTRI PRICE</t>
  </si>
  <si>
    <t>Acctual</t>
  </si>
  <si>
    <t>NO</t>
  </si>
  <si>
    <t>KFINTECH</t>
  </si>
  <si>
    <t>B</t>
  </si>
  <si>
    <t>*c*=E2/B2*(100)</t>
  </si>
  <si>
    <t>*d*=IF(E2&gt;0,E2,0)</t>
  </si>
  <si>
    <t>*f*=F2/B2*(4)</t>
  </si>
  <si>
    <t>*f*=G2/B2*(400)</t>
  </si>
  <si>
    <t>*g*=IF(G2&gt;0,G2,0)</t>
  </si>
  <si>
    <t>*h*=I2*100/D2</t>
  </si>
  <si>
    <t>*I*=I4/2</t>
  </si>
  <si>
    <t>*j*=IF(I5&gt;0,I5,0)</t>
  </si>
  <si>
    <t>*h*=50-K2</t>
  </si>
  <si>
    <t>*i*=1+(K5/100)</t>
  </si>
  <si>
    <t>j</t>
  </si>
  <si>
    <t>*e*=F2/B2*(4)</t>
  </si>
  <si>
    <t>*i*=IF(G2&gt;0,G2,0)</t>
  </si>
  <si>
    <t>*k*=50-K2</t>
  </si>
  <si>
    <t>*L*=1+(K5/100)</t>
  </si>
  <si>
    <t>*m*=IF(O2="YES",1,0.5)</t>
  </si>
  <si>
    <t>*n*=IF(P2="YES",0.8,1)</t>
  </si>
  <si>
    <t>*o*=Q2*10</t>
  </si>
  <si>
    <t>*p*=(100-Q5)/(100)</t>
  </si>
  <si>
    <t>*q*=(100-L2)/100</t>
  </si>
  <si>
    <t>INITIAL CAPITAL FOR RETURN YEARLY</t>
  </si>
  <si>
    <t>INITIAL CAPITAL FOR RETURN QUARTERLY</t>
  </si>
</sst>
</file>

<file path=xl/styles.xml><?xml version="1.0" encoding="utf-8"?>
<styleSheet xmlns="http://schemas.openxmlformats.org/spreadsheetml/2006/main">
  <numFmts count="5">
    <numFmt numFmtId="0" formatCode="General"/>
    <numFmt numFmtId="164" formatCode="0.00_ "/>
    <numFmt numFmtId="2" formatCode="0.00"/>
    <numFmt numFmtId="165" formatCode="0_ "/>
    <numFmt numFmtId="9" formatCode="0%"/>
  </numFmts>
  <fonts count="6">
    <font>
      <name val="Calibri"/>
      <sz val="11"/>
    </font>
    <font>
      <name val="Calibri"/>
      <charset val="134"/>
      <sz val="11"/>
      <color rgb="FFD8D8D8"/>
    </font>
    <font>
      <name val="Calibri"/>
      <b/>
      <sz val="11"/>
      <color rgb="FF000000"/>
    </font>
    <font>
      <name val="Calibri"/>
      <charset val="134"/>
      <sz val="11"/>
      <color rgb="FF000000"/>
    </font>
    <font>
      <name val="Calibri"/>
      <b/>
      <charset val="134"/>
      <sz val="11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0">
      <alignment vertical="center"/>
    </xf>
    <xf numFmtId="0" fontId="3" fillId="0" borderId="0" xfId="0">
      <alignment vertical="center"/>
      <protection locked="0" hidden="0"/>
    </xf>
    <xf numFmtId="0" fontId="3" fillId="0" borderId="0" xfId="0">
      <alignment vertical="center"/>
      <protection locked="1" hidden="1"/>
    </xf>
    <xf numFmtId="0" fontId="1" fillId="2" borderId="0" xfId="0" applyFont="1" applyFill="1" applyBorder="1">
      <alignment vertical="center"/>
      <protection locked="0" hidden="0"/>
    </xf>
    <xf numFmtId="0" fontId="4" fillId="0" borderId="0" xfId="0" applyFont="1">
      <alignment vertical="center"/>
      <protection locked="1" hidden="1"/>
    </xf>
    <xf numFmtId="164" fontId="3" fillId="0" borderId="0" xfId="0" applyNumberFormat="1">
      <alignment vertical="center"/>
      <protection locked="0" hidden="0"/>
    </xf>
    <xf numFmtId="0" fontId="2" fillId="0" borderId="0" xfId="0" applyFont="1">
      <alignment vertical="center"/>
      <protection locked="0" hidden="0"/>
    </xf>
    <xf numFmtId="2" fontId="2" fillId="0" borderId="0" xfId="0" applyNumberFormat="1" applyFont="1">
      <alignment vertical="center"/>
      <protection locked="0" hidden="0"/>
    </xf>
    <xf numFmtId="0" fontId="5" fillId="0" borderId="0" xfId="0" applyFont="1" applyAlignment="1">
      <alignment horizontal="center" vertical="center"/>
      <protection locked="0" hidden="0"/>
    </xf>
    <xf numFmtId="165" fontId="5" fillId="0" borderId="0" xfId="0" applyNumberFormat="1" applyFont="1">
      <alignment vertical="center"/>
    </xf>
    <xf numFmtId="2" fontId="3" fillId="0" borderId="0" xfId="0" applyNumberFormat="1">
      <alignment vertical="center"/>
    </xf>
    <xf numFmtId="0" fontId="4" fillId="0" borderId="0" xfId="0" applyFont="1">
      <alignment vertical="center"/>
    </xf>
    <xf numFmtId="9" fontId="3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31"/>
  <sheetViews>
    <sheetView tabSelected="1" workbookViewId="0" zoomScale="77">
      <selection activeCell="L20" sqref="L20"/>
    </sheetView>
  </sheetViews>
  <sheetFormatPr defaultRowHeight="15.0" defaultColWidth="10"/>
  <cols>
    <col min="1" max="1" customWidth="1" width="16.285156" style="0"/>
    <col min="2" max="2" customWidth="0" width="9.5703125" style="0"/>
    <col min="3" max="3" customWidth="0" width="11.7109375" style="0"/>
    <col min="5" max="5" customWidth="1" width="12.5703125" style="0"/>
    <col min="6" max="6" customWidth="1" width="11.0" style="0"/>
    <col min="7" max="7" customWidth="1" width="15.0" style="0"/>
    <col min="8" max="8" customWidth="1" width="10.425781" style="0"/>
    <col min="9" max="9" customWidth="1" width="10.285156" style="0"/>
    <col min="10" max="10" customWidth="1" width="3.5703125" style="1"/>
    <col min="11" max="11" customWidth="1" width="9.855469" style="0"/>
    <col min="12" max="12" customWidth="1" width="13.0" style="0"/>
    <col min="13" max="13" customWidth="1" width="13.710937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8:8">
      <c r="A2" s="2" t="s">
        <v>47</v>
      </c>
      <c r="B2">
        <v>16699.0</v>
      </c>
      <c r="C2">
        <v>968.0</v>
      </c>
      <c r="D2">
        <v>1055.5</v>
      </c>
      <c r="E2">
        <v>325.55</v>
      </c>
      <c r="F2">
        <v>297.26</v>
      </c>
      <c r="G2">
        <v>91.0</v>
      </c>
      <c r="H2">
        <v>11.51</v>
      </c>
      <c r="I2" s="3">
        <f>(F2*4)-D2</f>
        <v>133.53999999999996</v>
      </c>
      <c r="K2">
        <v>12.35</v>
      </c>
      <c r="L2">
        <v>0.0</v>
      </c>
      <c r="M2">
        <f>B2/A21</f>
        <v>2.197760338938556</v>
      </c>
      <c r="N2">
        <v>0.72</v>
      </c>
      <c r="O2" t="s">
        <v>16</v>
      </c>
      <c r="P2" t="s">
        <v>46</v>
      </c>
      <c r="Q2">
        <v>0.0</v>
      </c>
    </row>
    <row r="3" spans="8:8">
      <c r="M3" s="4">
        <f>IF(M2&lt;1,M2,0.1)</f>
        <v>0.1</v>
      </c>
      <c r="N3" s="4">
        <f>IF(N2&lt;=1,N2,1)</f>
        <v>0.72</v>
      </c>
    </row>
    <row r="4" spans="8:8" ht="15.3">
      <c r="A4" s="5"/>
      <c r="B4" s="4"/>
      <c r="C4" s="4" t="s">
        <v>17</v>
      </c>
      <c r="D4" s="4" t="s">
        <v>48</v>
      </c>
      <c r="E4" s="4" t="s">
        <v>49</v>
      </c>
      <c r="F4" s="4"/>
      <c r="G4" s="4" t="s">
        <v>52</v>
      </c>
      <c r="H4" s="4" t="s">
        <v>18</v>
      </c>
      <c r="I4" s="4" t="s">
        <v>54</v>
      </c>
      <c r="J4" s="6"/>
      <c r="K4" s="4"/>
      <c r="L4" s="4"/>
      <c r="M4" s="4">
        <f>M3*100</f>
        <v>10.0</v>
      </c>
      <c r="N4" s="4"/>
      <c r="O4" s="4"/>
      <c r="P4" s="4"/>
      <c r="Q4" s="4"/>
    </row>
    <row r="5" spans="8:8" ht="15.3">
      <c r="A5" s="5"/>
      <c r="B5" s="4"/>
      <c r="C5" s="4">
        <f>B2/C2</f>
        <v>17.251033057851238</v>
      </c>
      <c r="D5" s="4">
        <f>D2/B2</f>
        <v>0.06320737768728667</v>
      </c>
      <c r="E5" s="4" t="s">
        <v>50</v>
      </c>
      <c r="F5" s="4" t="s">
        <v>60</v>
      </c>
      <c r="G5" s="4" t="s">
        <v>53</v>
      </c>
      <c r="H5" s="4">
        <f>C2/H2*(C5)</f>
        <v>1450.8253692441353</v>
      </c>
      <c r="I5" s="4" t="s">
        <v>55</v>
      </c>
      <c r="J5" s="6"/>
      <c r="K5" s="4" t="s">
        <v>62</v>
      </c>
      <c r="L5" s="4" t="s">
        <v>59</v>
      </c>
      <c r="N5" s="4">
        <f>0.5-N3</f>
        <v>-0.21999999999999997</v>
      </c>
      <c r="O5" s="4"/>
      <c r="P5" s="4"/>
      <c r="Q5" s="4" t="s">
        <v>66</v>
      </c>
    </row>
    <row r="6" spans="8:8" ht="15.3">
      <c r="A6" s="5"/>
      <c r="B6" s="4"/>
      <c r="C6" s="4"/>
      <c r="D6" s="4"/>
      <c r="E6" s="4"/>
      <c r="F6" s="4"/>
      <c r="G6" s="4"/>
      <c r="H6" s="4"/>
      <c r="I6" s="4" t="s">
        <v>56</v>
      </c>
      <c r="J6" s="6"/>
      <c r="K6" s="4" t="s">
        <v>63</v>
      </c>
      <c r="L6" s="4" t="s">
        <v>68</v>
      </c>
      <c r="M6" s="4">
        <f>IF(M2&lt;1,M2,0.99)</f>
        <v>0.99</v>
      </c>
      <c r="N6" s="4">
        <f>1+N5</f>
        <v>0.78</v>
      </c>
      <c r="O6" s="4" t="s">
        <v>64</v>
      </c>
      <c r="P6" s="4" t="s">
        <v>65</v>
      </c>
      <c r="Q6" s="4" t="s">
        <v>67</v>
      </c>
    </row>
    <row r="7" spans="8:8" ht="15.3">
      <c r="A7" s="5"/>
      <c r="B7" s="4"/>
      <c r="C7" s="4"/>
      <c r="D7" s="4"/>
      <c r="E7" s="4" t="s">
        <v>69</v>
      </c>
      <c r="F7" s="4"/>
      <c r="G7" s="4" t="s">
        <v>70</v>
      </c>
      <c r="H7" s="4"/>
      <c r="I7" s="4"/>
      <c r="J7" s="6"/>
      <c r="K7" s="4"/>
      <c r="L7" s="4"/>
      <c r="M7" s="4"/>
      <c r="N7" s="4"/>
      <c r="O7" s="4"/>
      <c r="P7" s="4"/>
      <c r="Q7" s="4"/>
    </row>
    <row r="8" spans="8:8">
      <c r="A8" s="5"/>
      <c r="B8" s="4"/>
      <c r="C8" s="4"/>
      <c r="D8" s="4"/>
      <c r="E8" s="4" t="e">
        <f>E5*100/A12</f>
        <v>#VALUE!</v>
      </c>
      <c r="F8" s="4"/>
      <c r="G8" s="4" t="e">
        <f>G5*400/A12</f>
        <v>#VALUE!</v>
      </c>
      <c r="H8" s="4"/>
      <c r="I8" s="4"/>
      <c r="J8" s="6"/>
      <c r="K8" s="4"/>
      <c r="L8" s="4"/>
      <c r="M8" s="4"/>
      <c r="N8" s="4"/>
      <c r="O8" s="4"/>
      <c r="P8" s="4"/>
      <c r="Q8" s="4"/>
    </row>
    <row r="9" spans="8:8">
      <c r="A9" s="5"/>
      <c r="B9" s="4"/>
      <c r="C9" s="4"/>
      <c r="D9" s="4"/>
      <c r="E9" s="4"/>
      <c r="F9" s="4"/>
      <c r="G9" s="4"/>
      <c r="H9" s="4"/>
      <c r="I9" s="4"/>
      <c r="J9" s="6"/>
      <c r="K9" s="4"/>
      <c r="L9" s="4"/>
      <c r="M9" s="4"/>
      <c r="N9" s="4"/>
      <c r="O9" s="4"/>
      <c r="P9" s="4"/>
      <c r="Q9" s="4"/>
    </row>
    <row r="10" spans="8:8">
      <c r="A10" s="5"/>
      <c r="B10" s="4"/>
      <c r="C10" s="4"/>
      <c r="D10" s="4"/>
      <c r="E10" s="4" t="s">
        <v>20</v>
      </c>
      <c r="F10" s="4"/>
      <c r="G10" s="4"/>
      <c r="H10" s="4"/>
      <c r="I10" s="4"/>
      <c r="J10" s="6"/>
      <c r="K10" s="4"/>
      <c r="L10" s="4"/>
      <c r="M10" s="4"/>
      <c r="N10" s="4"/>
      <c r="O10" s="4"/>
      <c r="P10" s="4"/>
      <c r="Q10" s="4"/>
    </row>
    <row r="11" spans="8:8">
      <c r="A11" s="7" t="s">
        <v>21</v>
      </c>
      <c r="B11" s="4"/>
      <c r="C11" s="4"/>
      <c r="D11" s="4"/>
      <c r="E11" s="4" t="e">
        <f>(E8+G8)/2</f>
        <v>#VALUE!</v>
      </c>
      <c r="F11" s="4"/>
      <c r="G11" s="4"/>
      <c r="H11" s="4"/>
      <c r="I11" s="4"/>
      <c r="J11" s="6"/>
      <c r="K11" s="4"/>
      <c r="L11" s="4" t="s">
        <v>22</v>
      </c>
      <c r="M11" s="4"/>
      <c r="N11" s="4"/>
      <c r="O11" s="4"/>
      <c r="P11" s="4"/>
      <c r="Q11" s="4"/>
    </row>
    <row r="12" spans="8:8">
      <c r="A12" s="5">
        <v>5.5</v>
      </c>
      <c r="B12" s="4"/>
      <c r="C12" s="4"/>
      <c r="D12" s="4"/>
      <c r="E12" s="4"/>
      <c r="F12" s="4"/>
      <c r="G12" s="4"/>
      <c r="H12" s="4"/>
      <c r="I12" s="4"/>
      <c r="J12" s="6"/>
      <c r="K12" s="4"/>
      <c r="L12" s="8" t="e">
        <f>E20*K6*L6*O6*P6*Q6</f>
        <v>#VALUE!</v>
      </c>
      <c r="M12" s="4"/>
      <c r="N12" s="4"/>
      <c r="O12" s="4"/>
      <c r="P12" s="4"/>
      <c r="Q12" s="4"/>
    </row>
    <row r="13" spans="8:8">
      <c r="A13" s="5"/>
      <c r="B13" s="4"/>
      <c r="C13" s="4"/>
      <c r="D13" s="4"/>
      <c r="E13" s="4" t="s">
        <v>23</v>
      </c>
      <c r="F13" s="4"/>
      <c r="G13" s="4"/>
      <c r="H13" s="4"/>
      <c r="I13" s="4"/>
      <c r="J13" s="6"/>
      <c r="K13" s="4"/>
      <c r="L13" s="4"/>
      <c r="M13" s="4"/>
      <c r="N13" s="4"/>
      <c r="O13" s="4"/>
      <c r="P13" s="4"/>
      <c r="Q13" s="4"/>
    </row>
    <row r="14" spans="8:8">
      <c r="A14" s="5" t="s">
        <v>24</v>
      </c>
      <c r="B14" s="4"/>
      <c r="C14" s="4"/>
      <c r="D14" s="4"/>
      <c r="E14" s="4" t="e">
        <f>E11+H5</f>
        <v>#VALUE!</v>
      </c>
      <c r="F14" s="4"/>
      <c r="G14" s="4"/>
      <c r="H14" s="4"/>
      <c r="I14" s="4"/>
      <c r="J14" s="6"/>
      <c r="K14" s="4"/>
      <c r="L14" s="9" t="s">
        <v>44</v>
      </c>
      <c r="M14" s="4"/>
      <c r="N14" s="4"/>
      <c r="O14" s="4"/>
      <c r="P14" s="4"/>
      <c r="Q14" s="4"/>
    </row>
    <row r="15" spans="8:8">
      <c r="A15" s="5">
        <v>4.2694228E7</v>
      </c>
      <c r="B15" s="4"/>
      <c r="C15" s="4"/>
      <c r="D15" s="4"/>
      <c r="E15" s="4"/>
      <c r="F15" s="4"/>
      <c r="G15" s="4"/>
      <c r="H15" s="4"/>
      <c r="I15" s="4"/>
      <c r="J15" s="6"/>
      <c r="K15" s="4"/>
      <c r="L15" s="10" t="e">
        <f>L12/C5</f>
        <v>#VALUE!</v>
      </c>
      <c r="M15" s="4"/>
      <c r="O15" s="4"/>
      <c r="P15" s="4"/>
      <c r="Q15" s="4"/>
    </row>
    <row r="16" spans="8:8" ht="15.0">
      <c r="B16" s="4"/>
      <c r="C16" s="4"/>
      <c r="D16" s="4"/>
      <c r="E16" s="4" t="s">
        <v>25</v>
      </c>
      <c r="F16" s="4"/>
      <c r="G16" s="4"/>
      <c r="H16" s="4"/>
      <c r="I16" s="4"/>
      <c r="J16" s="6"/>
      <c r="K16" s="4"/>
      <c r="L16" s="4"/>
      <c r="M16" s="4"/>
      <c r="N16" s="4"/>
      <c r="O16" s="4"/>
      <c r="P16" s="4"/>
      <c r="Q16" s="4"/>
    </row>
    <row r="17" spans="8:8">
      <c r="A17" t="s">
        <v>26</v>
      </c>
      <c r="B17" s="4"/>
      <c r="C17" s="4"/>
      <c r="D17" s="4"/>
      <c r="E17" s="4" t="e">
        <f>B2*I6/100</f>
        <v>#VALUE!</v>
      </c>
      <c r="F17" s="4"/>
      <c r="G17" s="4"/>
      <c r="H17" s="4"/>
      <c r="I17" s="4"/>
      <c r="J17" s="6"/>
      <c r="K17" s="4"/>
      <c r="L17" s="11"/>
      <c r="M17" s="11"/>
      <c r="N17" s="4"/>
      <c r="O17" s="4"/>
      <c r="P17" s="4"/>
      <c r="Q17" s="4"/>
    </row>
    <row r="18" spans="8:8">
      <c r="A18">
        <v>5619.0</v>
      </c>
      <c r="L18" s="12"/>
      <c r="M18" s="12"/>
    </row>
    <row r="19" spans="8:8">
      <c r="E19" t="s">
        <v>27</v>
      </c>
      <c r="L19" s="2" t="s">
        <v>45</v>
      </c>
    </row>
    <row r="20" spans="8:8">
      <c r="A20" t="s">
        <v>28</v>
      </c>
      <c r="E20" t="e">
        <f>E14+E17</f>
        <v>#VALUE!</v>
      </c>
      <c r="L20" s="10" t="e">
        <f>E20/C5</f>
        <v>#VALUE!</v>
      </c>
    </row>
    <row r="21" spans="8:8">
      <c r="A21">
        <f>A15/A18</f>
        <v>7598.1897134721485</v>
      </c>
    </row>
    <row r="22" spans="8:8">
      <c r="E22" s="2" t="s">
        <v>40</v>
      </c>
      <c r="G22" s="2" t="s">
        <v>41</v>
      </c>
    </row>
    <row r="23" spans="8:8">
      <c r="E23" s="13" t="e">
        <f>100/E4</f>
        <v>#VALUE!</v>
      </c>
      <c r="G23" s="13" t="e">
        <f>100/G4</f>
        <v>#VALUE!</v>
      </c>
    </row>
    <row r="25" spans="8:8">
      <c r="E25" s="2" t="s">
        <v>42</v>
      </c>
      <c r="G25" s="2" t="s">
        <v>43</v>
      </c>
    </row>
    <row r="26" spans="8:8">
      <c r="E26" s="13">
        <f>E2/C5</f>
        <v>18.871333612791187</v>
      </c>
      <c r="G26" s="13">
        <f>G2/C5*4</f>
        <v>21.100185639858676</v>
      </c>
    </row>
    <row r="28" spans="8:8">
      <c r="A28" s="14" t="s">
        <v>29</v>
      </c>
    </row>
    <row r="29" spans="8:8">
      <c r="A29" t="s">
        <v>31</v>
      </c>
    </row>
    <row r="30" spans="8:8">
      <c r="A30" t="s">
        <v>30</v>
      </c>
    </row>
    <row r="31" spans="8:8">
      <c r="A31" t="s">
        <v>32</v>
      </c>
    </row>
  </sheetData>
  <mergeCells count="1">
    <mergeCell ref="L17:M17"/>
  </mergeCell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selection activeCell="A1" sqref="A1"/>
    </sheetView>
  </sheetViews>
  <sheetFormatPr defaultRowHeight="15.0" defaultColWidth="10"/>
  <cols>
    <col min="1" max="1" customWidth="1" bestFit="1" width="14.140625" style="0"/>
    <col min="2" max="2" customWidth="1" bestFit="1" width="10.285156" style="0"/>
  </cols>
  <sheetData>
    <row r="1" spans="8:8">
      <c r="A1" t="s">
        <v>33</v>
      </c>
      <c r="B1" t="s">
        <v>34</v>
      </c>
      <c r="C1" t="s">
        <v>35</v>
      </c>
      <c r="D1" t="s">
        <v>37</v>
      </c>
      <c r="E1" s="15">
        <v>0.8</v>
      </c>
      <c r="F1" t="s">
        <v>36</v>
      </c>
    </row>
    <row r="2" spans="8:8">
      <c r="A2">
        <v>100000.0</v>
      </c>
      <c r="B2">
        <v>200000.0</v>
      </c>
      <c r="C2">
        <v>300000.0</v>
      </c>
      <c r="D2">
        <v>230000.0</v>
      </c>
      <c r="E2">
        <v>240000.0</v>
      </c>
      <c r="F2" s="4" t="str">
        <f>IF(E2&lt;D2,G2,H2)</f>
        <v>RISK</v>
      </c>
      <c r="G2" t="s">
        <v>38</v>
      </c>
      <c r="H2" t="s">
        <v>39</v>
      </c>
    </row>
    <row r="3" spans="8:8">
      <c r="F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RMS2</dc:creator>
  <cp:lastModifiedBy>admin</cp:lastModifiedBy>
  <dcterms:created xsi:type="dcterms:W3CDTF">2024-04-16T22:25:00Z</dcterms:created>
  <dcterms:modified xsi:type="dcterms:W3CDTF">2026-02-15T16:20:10Z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1033-11.2.0.10200</vt:lpwstr>
  </property>
  <property fmtid="{D5CDD505-2E9C-101B-9397-08002B2CF9AE}" pid="3" name="ICV">
    <vt:lpwstr>bc8704127ff848569054b7104a93eaa7</vt:lpwstr>
  </property>
</Properties>
</file>